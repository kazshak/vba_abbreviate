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120" yWindow="15" windowWidth="19035" windowHeight="12015"/>
  </bookViews>
  <sheets>
    <sheet name="Sheet1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D61" i="1" l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E36" i="1"/>
  <c r="E41" i="1"/>
  <c r="E9" i="1"/>
  <c r="E44" i="1"/>
  <c r="E51" i="1"/>
  <c r="E19" i="1"/>
  <c r="E42" i="1"/>
  <c r="E10" i="1"/>
  <c r="E37" i="1"/>
  <c r="E5" i="1"/>
  <c r="E56" i="1"/>
  <c r="E40" i="1"/>
  <c r="E24" i="1"/>
  <c r="E8" i="1"/>
  <c r="E47" i="1"/>
  <c r="E31" i="1"/>
  <c r="E15" i="1"/>
  <c r="E54" i="1"/>
  <c r="E38" i="1"/>
  <c r="E22" i="1"/>
  <c r="E6" i="1"/>
  <c r="E49" i="1"/>
  <c r="E33" i="1"/>
  <c r="E17" i="1"/>
  <c r="E4" i="1"/>
  <c r="E52" i="1"/>
  <c r="E20" i="1"/>
  <c r="E59" i="1"/>
  <c r="E43" i="1"/>
  <c r="E27" i="1"/>
  <c r="E11" i="1"/>
  <c r="E50" i="1"/>
  <c r="E34" i="1"/>
  <c r="E18" i="1"/>
  <c r="E61" i="1"/>
  <c r="E45" i="1"/>
  <c r="E29" i="1"/>
  <c r="E13" i="1"/>
  <c r="E48" i="1"/>
  <c r="E32" i="1"/>
  <c r="E16" i="1"/>
  <c r="E55" i="1"/>
  <c r="E39" i="1"/>
  <c r="E23" i="1"/>
  <c r="E7" i="1"/>
  <c r="E46" i="1"/>
  <c r="E30" i="1"/>
  <c r="E14" i="1"/>
  <c r="E57" i="1"/>
  <c r="E25" i="1"/>
  <c r="E60" i="1"/>
  <c r="E28" i="1"/>
  <c r="E12" i="1"/>
  <c r="E35" i="1"/>
  <c r="E58" i="1"/>
  <c r="E26" i="1"/>
  <c r="E53" i="1"/>
  <c r="E21" i="1"/>
</calcChain>
</file>

<file path=xl/sharedStrings.xml><?xml version="1.0" encoding="utf-8"?>
<sst xmlns="http://schemas.openxmlformats.org/spreadsheetml/2006/main" count="58" uniqueCount="58">
  <si>
    <t>'AM&amp;P Rejects',</t>
  </si>
  <si>
    <t>'Additional Engineering Required',</t>
  </si>
  <si>
    <t>'Alternatives',</t>
  </si>
  <si>
    <t>'Asset Engineer',</t>
  </si>
  <si>
    <t>'Asset Engineering Manager',</t>
  </si>
  <si>
    <t>'Asset Owner (large cap)',</t>
  </si>
  <si>
    <t>'Asset Owner (small cap)',</t>
  </si>
  <si>
    <t>'Assumptions',</t>
  </si>
  <si>
    <t>'Avoided Event Consequences',</t>
  </si>
  <si>
    <t>'Benefits',</t>
  </si>
  <si>
    <t>'Business Unit',</t>
  </si>
  <si>
    <t>'Commitment Type',</t>
  </si>
  <si>
    <t>'Compliance / Regulatory',</t>
  </si>
  <si>
    <t>'Corporate Engineer',</t>
  </si>
  <si>
    <t>'Corporate Engineering Manager',</t>
  </si>
  <si>
    <t>'Cost Assumptions',</t>
  </si>
  <si>
    <t>'CyberSecurity',</t>
  </si>
  <si>
    <t>'Default Work Order Number',</t>
  </si>
  <si>
    <t>'Detailed Engineering (Phase 2)',</t>
  </si>
  <si>
    <t>'Draft Rejects',</t>
  </si>
  <si>
    <t>'Economic Analysis',</t>
  </si>
  <si>
    <t>'Economic Analysis Loaded',</t>
  </si>
  <si>
    <t>'Environmental',</t>
  </si>
  <si>
    <t>'Event Probability',</t>
  </si>
  <si>
    <t>'FAO Review Status',</t>
  </si>
  <si>
    <t>'FAO Reviewer',</t>
  </si>
  <si>
    <t>'Fleet',</t>
  </si>
  <si>
    <t>'Funding Project Number',</t>
  </si>
  <si>
    <t>'FundingType',</t>
  </si>
  <si>
    <t>'IR Number',</t>
  </si>
  <si>
    <t>'Implementation (Phase 3)',</t>
  </si>
  <si>
    <t>'Investment Review Status',</t>
  </si>
  <si>
    <t>'Long Lead Materials (Phase 2)',</t>
  </si>
  <si>
    <t>'Manager of Project Manager',</t>
  </si>
  <si>
    <t>'Max Long Lead Time',</t>
  </si>
  <si>
    <t>'Mitigation Duration',</t>
  </si>
  <si>
    <t>'Mitigation Steps',</t>
  </si>
  <si>
    <t>'Old Category',</t>
  </si>
  <si>
    <t>'Old Subcategory',</t>
  </si>
  <si>
    <t>'Org Group',</t>
  </si>
  <si>
    <t>'Other Estimate',</t>
  </si>
  <si>
    <t>'Owner Review Rejects',</t>
  </si>
  <si>
    <t>'Planning Portfolio',</t>
  </si>
  <si>
    <t>'Plant',</t>
  </si>
  <si>
    <t>'Portfolio Category',</t>
  </si>
  <si>
    <t>'PowerPlan Status',</t>
  </si>
  <si>
    <t>'Profitability Index',</t>
  </si>
  <si>
    <t>'Project Manager',</t>
  </si>
  <si>
    <t>'Reason for Additional Engineering',</t>
  </si>
  <si>
    <t>'Region',</t>
  </si>
  <si>
    <t>'Request Status',</t>
  </si>
  <si>
    <t>'Rework (Tech Complete Rejects)',</t>
  </si>
  <si>
    <t>'Safety',</t>
  </si>
  <si>
    <t>'Scope',</t>
  </si>
  <si>
    <t>'Study &amp; Preliminary Engineering (Phase 1)',</t>
  </si>
  <si>
    <t>'Unit Code',</t>
  </si>
  <si>
    <t>'Unit Name',</t>
  </si>
  <si>
    <t>'Workflow Status'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</si>
</sst>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_);[Red]\(#,##0.0\)"/>
  </numFmts>
  <fonts count="1" x14ac:knownFonts="1">
    <font>
      <sz val="11"/>
      <color theme="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164" fontId="0" fillId="0" borderId="0"/>
  </cellStyleXfs>
  <cellXfs count="2">
    <xf numFmtId="164" fontId="0" fillId="0" borderId="0" xfId="0"/>
    <xf numFmtId="164" fontId="0" fillId="0" borderId="0" xfId="0" quotePrefix="1"/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TVA Official Color Scheme">
      <a:dk1>
        <a:srgbClr val="000000"/>
      </a:dk1>
      <a:lt1>
        <a:srgbClr val="FFFFFF"/>
      </a:lt1>
      <a:dk2>
        <a:srgbClr val="00386B"/>
      </a:dk2>
      <a:lt2>
        <a:srgbClr val="0054A0"/>
      </a:lt2>
      <a:accent1>
        <a:srgbClr val="215B33"/>
      </a:accent1>
      <a:accent2>
        <a:srgbClr val="9B301C"/>
      </a:accent2>
      <a:accent3>
        <a:srgbClr val="7C1E3F"/>
      </a:accent3>
      <a:accent4>
        <a:srgbClr val="59118E"/>
      </a:accent4>
      <a:accent5>
        <a:srgbClr val="5BBF21"/>
      </a:accent5>
      <a:accent6>
        <a:srgbClr val="F2BF49"/>
      </a:accent6>
      <a:hlink>
        <a:srgbClr val="AABF49"/>
      </a:hlink>
      <a:folHlink>
        <a:srgbClr val="AAAD75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4:F61"/>
  <sheetViews>
    <sheetView tabSelected="1" topLeftCell="B1" workbookViewId="0">
      <selection activeCell="E4" sqref="E4"/>
    </sheetView>
  </sheetViews>
  <sheetFormatPr defaultColWidth="12.625" defaultRowHeight="14.25" x14ac:dyDescent="0.2"/>
  <cols>
    <col min="3" max="3" width="37.125" bestFit="1" customWidth="1"/>
    <col min="4" max="4" width="35.75" bestFit="1" customWidth="1"/>
    <col min="5" max="5" width="23" bestFit="1" customWidth="1"/>
    <col min="6" max="6" width="66.125" bestFit="1" customWidth="1"/>
    <col min="7" max="7" width="25.125" bestFit="1" customWidth="1"/>
  </cols>
  <sheetData>
    <row r="4" spans="3:6" x14ac:dyDescent="0.2">
      <c r="C4" t="s">
        <v>0</v>
      </c>
      <c r="D4" t="str">
        <f>LEFT(RIGHT(C4,LEN(C4)-1),LEN(C4)-3)</f>
        <v>AM&amp;P Rejects</v>
      </c>
      <c r="E4" t="str">
        <f>abbreviate(D4)</f>
        <v>AMPRjcts</v>
      </c>
      <c r="F4" s="1"/>
    </row>
    <row r="5" spans="3:6" x14ac:dyDescent="0.2">
      <c r="C5" t="s">
        <v>1</v>
      </c>
      <c r="D5" t="str">
        <f t="shared" ref="D5:D61" si="0">LEFT(RIGHT(C5,LEN(C5)-1),LEN(C5)-3)</f>
        <v>Additional Engineering Required</v>
      </c>
      <c r="E5" t="str">
        <f t="shared" ref="E5:E61" si="1">abbreviate(D5)</f>
        <v>AddtnlEngnrngRqrd</v>
      </c>
      <c r="F5" s="1"/>
    </row>
    <row r="6" spans="3:6" x14ac:dyDescent="0.2">
      <c r="C6" t="s">
        <v>2</v>
      </c>
      <c r="D6" t="str">
        <f t="shared" si="0"/>
        <v>Alternatives</v>
      </c>
      <c r="E6" t="str">
        <f t="shared" si="1"/>
        <v>Alternatives</v>
      </c>
      <c r="F6" s="1"/>
    </row>
    <row r="7" spans="3:6" x14ac:dyDescent="0.2">
      <c r="C7" t="s">
        <v>3</v>
      </c>
      <c r="D7" t="str">
        <f t="shared" si="0"/>
        <v>Asset Engineer</v>
      </c>
      <c r="E7" t="str">
        <f t="shared" si="1"/>
        <v>AsstEngnr</v>
      </c>
      <c r="F7" s="1"/>
    </row>
    <row r="8" spans="3:6" x14ac:dyDescent="0.2">
      <c r="C8" t="s">
        <v>4</v>
      </c>
      <c r="D8" t="str">
        <f t="shared" si="0"/>
        <v>Asset Engineering Manager</v>
      </c>
      <c r="E8" t="str">
        <f t="shared" si="1"/>
        <v>AsstEngnrngMngr</v>
      </c>
      <c r="F8" s="1"/>
    </row>
    <row r="9" spans="3:6" x14ac:dyDescent="0.2">
      <c r="C9" t="s">
        <v>5</v>
      </c>
      <c r="D9" t="str">
        <f t="shared" si="0"/>
        <v>Asset Owner (large cap)</v>
      </c>
      <c r="E9" t="str">
        <f t="shared" si="1"/>
        <v>AsstOwnr(lrgcp)</v>
      </c>
      <c r="F9" s="1"/>
    </row>
    <row r="10" spans="3:6" x14ac:dyDescent="0.2">
      <c r="C10" t="s">
        <v>6</v>
      </c>
      <c r="D10" t="str">
        <f t="shared" si="0"/>
        <v>Asset Owner (small cap)</v>
      </c>
      <c r="E10" t="str">
        <f t="shared" si="1"/>
        <v>AsstOwnr(smllcp)</v>
      </c>
      <c r="F10" s="1"/>
    </row>
    <row r="11" spans="3:6" x14ac:dyDescent="0.2">
      <c r="C11" t="s">
        <v>7</v>
      </c>
      <c r="D11" t="str">
        <f t="shared" si="0"/>
        <v>Assumptions</v>
      </c>
      <c r="E11" t="str">
        <f t="shared" si="1"/>
        <v>Assumptions</v>
      </c>
      <c r="F11" s="1"/>
    </row>
    <row r="12" spans="3:6" x14ac:dyDescent="0.2">
      <c r="C12" t="s">
        <v>8</v>
      </c>
      <c r="D12" t="str">
        <f t="shared" si="0"/>
        <v>Avoided Event Consequences</v>
      </c>
      <c r="E12" t="str">
        <f t="shared" si="1"/>
        <v>AvddEvntCnsqncs</v>
      </c>
      <c r="F12" s="1"/>
    </row>
    <row r="13" spans="3:6" x14ac:dyDescent="0.2">
      <c r="C13" t="s">
        <v>9</v>
      </c>
      <c r="D13" t="str">
        <f t="shared" si="0"/>
        <v>Benefits</v>
      </c>
      <c r="E13" t="str">
        <f t="shared" si="1"/>
        <v>Benefits</v>
      </c>
      <c r="F13" s="1"/>
    </row>
    <row r="14" spans="3:6" x14ac:dyDescent="0.2">
      <c r="C14" t="s">
        <v>10</v>
      </c>
      <c r="D14" t="str">
        <f t="shared" si="0"/>
        <v>Business Unit</v>
      </c>
      <c r="E14" t="str">
        <f t="shared" si="1"/>
        <v>BsnssUnt</v>
      </c>
      <c r="F14" s="1"/>
    </row>
    <row r="15" spans="3:6" x14ac:dyDescent="0.2">
      <c r="C15" t="s">
        <v>11</v>
      </c>
      <c r="D15" t="str">
        <f t="shared" si="0"/>
        <v>Commitment Type</v>
      </c>
      <c r="E15" t="str">
        <f t="shared" si="1"/>
        <v>CmmtmntTyp</v>
      </c>
      <c r="F15" s="1"/>
    </row>
    <row r="16" spans="3:6" x14ac:dyDescent="0.2">
      <c r="C16" t="s">
        <v>12</v>
      </c>
      <c r="D16" t="str">
        <f t="shared" si="0"/>
        <v>Compliance / Regulatory</v>
      </c>
      <c r="E16" t="str">
        <f t="shared" si="1"/>
        <v>Cmplnc/Rgltry</v>
      </c>
      <c r="F16" s="1"/>
    </row>
    <row r="17" spans="3:6" x14ac:dyDescent="0.2">
      <c r="C17" t="s">
        <v>13</v>
      </c>
      <c r="D17" t="str">
        <f t="shared" si="0"/>
        <v>Corporate Engineer</v>
      </c>
      <c r="E17" t="str">
        <f t="shared" si="1"/>
        <v>CrprtEngnr</v>
      </c>
      <c r="F17" s="1"/>
    </row>
    <row r="18" spans="3:6" x14ac:dyDescent="0.2">
      <c r="C18" t="s">
        <v>14</v>
      </c>
      <c r="D18" t="str">
        <f t="shared" si="0"/>
        <v>Corporate Engineering Manager</v>
      </c>
      <c r="E18" t="str">
        <f t="shared" si="1"/>
        <v>CrprtEngnrngMngr</v>
      </c>
      <c r="F18" s="1"/>
    </row>
    <row r="19" spans="3:6" x14ac:dyDescent="0.2">
      <c r="C19" t="s">
        <v>15</v>
      </c>
      <c r="D19" t="str">
        <f t="shared" si="0"/>
        <v>Cost Assumptions</v>
      </c>
      <c r="E19" t="str">
        <f t="shared" si="1"/>
        <v>CstAssmptns</v>
      </c>
      <c r="F19" s="1"/>
    </row>
    <row r="20" spans="3:6" x14ac:dyDescent="0.2">
      <c r="C20" t="s">
        <v>16</v>
      </c>
      <c r="D20" t="str">
        <f t="shared" si="0"/>
        <v>CyberSecurity</v>
      </c>
      <c r="E20" t="str">
        <f t="shared" si="1"/>
        <v>CyberSecurity</v>
      </c>
      <c r="F20" s="1"/>
    </row>
    <row r="21" spans="3:6" x14ac:dyDescent="0.2">
      <c r="C21" t="s">
        <v>17</v>
      </c>
      <c r="D21" t="str">
        <f t="shared" si="0"/>
        <v>Default Work Order Number</v>
      </c>
      <c r="E21" t="str">
        <f t="shared" si="1"/>
        <v>DfltWrkOrdrNmbr</v>
      </c>
      <c r="F21" s="1"/>
    </row>
    <row r="22" spans="3:6" x14ac:dyDescent="0.2">
      <c r="C22" t="s">
        <v>18</v>
      </c>
      <c r="D22" t="str">
        <f t="shared" si="0"/>
        <v>Detailed Engineering (Phase 2)</v>
      </c>
      <c r="E22" t="str">
        <f t="shared" si="1"/>
        <v>DtldEngnrng(Phs2)</v>
      </c>
      <c r="F22" s="1"/>
    </row>
    <row r="23" spans="3:6" x14ac:dyDescent="0.2">
      <c r="C23" t="s">
        <v>19</v>
      </c>
      <c r="D23" t="str">
        <f t="shared" si="0"/>
        <v>Draft Rejects</v>
      </c>
      <c r="E23" t="str">
        <f t="shared" si="1"/>
        <v>DrftRjcts</v>
      </c>
      <c r="F23" s="1"/>
    </row>
    <row r="24" spans="3:6" x14ac:dyDescent="0.2">
      <c r="C24" t="s">
        <v>20</v>
      </c>
      <c r="D24" t="str">
        <f t="shared" si="0"/>
        <v>Economic Analysis</v>
      </c>
      <c r="E24" t="str">
        <f t="shared" si="1"/>
        <v>EcnmcAnlyss</v>
      </c>
      <c r="F24" s="1"/>
    </row>
    <row r="25" spans="3:6" x14ac:dyDescent="0.2">
      <c r="C25" t="s">
        <v>21</v>
      </c>
      <c r="D25" t="str">
        <f t="shared" si="0"/>
        <v>Economic Analysis Loaded</v>
      </c>
      <c r="E25" t="str">
        <f t="shared" si="1"/>
        <v>EcnmcAnlyssLdd</v>
      </c>
      <c r="F25" s="1"/>
    </row>
    <row r="26" spans="3:6" x14ac:dyDescent="0.2">
      <c r="C26" t="s">
        <v>22</v>
      </c>
      <c r="D26" t="str">
        <f t="shared" si="0"/>
        <v>Environmental</v>
      </c>
      <c r="E26" t="str">
        <f t="shared" si="1"/>
        <v>Environmental</v>
      </c>
      <c r="F26" s="1"/>
    </row>
    <row r="27" spans="3:6" x14ac:dyDescent="0.2">
      <c r="C27" t="s">
        <v>23</v>
      </c>
      <c r="D27" t="str">
        <f t="shared" si="0"/>
        <v>Event Probability</v>
      </c>
      <c r="E27" t="str">
        <f t="shared" si="1"/>
        <v>EvntPrbblty</v>
      </c>
      <c r="F27" s="1"/>
    </row>
    <row r="28" spans="3:6" x14ac:dyDescent="0.2">
      <c r="C28" t="s">
        <v>24</v>
      </c>
      <c r="D28" t="str">
        <f t="shared" si="0"/>
        <v>FAO Review Status</v>
      </c>
      <c r="E28" t="str">
        <f t="shared" si="1"/>
        <v>FAORvwStts</v>
      </c>
      <c r="F28" s="1"/>
    </row>
    <row r="29" spans="3:6" x14ac:dyDescent="0.2">
      <c r="C29" t="s">
        <v>25</v>
      </c>
      <c r="D29" t="str">
        <f t="shared" si="0"/>
        <v>FAO Reviewer</v>
      </c>
      <c r="E29" t="str">
        <f t="shared" si="1"/>
        <v>FAORvwr</v>
      </c>
      <c r="F29" s="1"/>
    </row>
    <row r="30" spans="3:6" x14ac:dyDescent="0.2">
      <c r="C30" t="s">
        <v>26</v>
      </c>
      <c r="D30" t="str">
        <f t="shared" si="0"/>
        <v>Fleet</v>
      </c>
      <c r="E30" t="str">
        <f t="shared" si="1"/>
        <v>Fleet</v>
      </c>
      <c r="F30" s="1"/>
    </row>
    <row r="31" spans="3:6" x14ac:dyDescent="0.2">
      <c r="C31" t="s">
        <v>27</v>
      </c>
      <c r="D31" t="str">
        <f t="shared" si="0"/>
        <v>Funding Project Number</v>
      </c>
      <c r="E31" t="str">
        <f t="shared" si="1"/>
        <v>FndngPrjctNmbr</v>
      </c>
      <c r="F31" s="1"/>
    </row>
    <row r="32" spans="3:6" x14ac:dyDescent="0.2">
      <c r="C32" t="s">
        <v>28</v>
      </c>
      <c r="D32" t="str">
        <f t="shared" si="0"/>
        <v>FundingType</v>
      </c>
      <c r="E32" t="str">
        <f t="shared" si="1"/>
        <v>FundingType</v>
      </c>
      <c r="F32" s="1"/>
    </row>
    <row r="33" spans="3:6" x14ac:dyDescent="0.2">
      <c r="C33" t="s">
        <v>29</v>
      </c>
      <c r="D33" t="str">
        <f t="shared" si="0"/>
        <v>IR Number</v>
      </c>
      <c r="E33" t="str">
        <f t="shared" si="1"/>
        <v>IRNmbr</v>
      </c>
      <c r="F33" s="1"/>
    </row>
    <row r="34" spans="3:6" x14ac:dyDescent="0.2">
      <c r="C34" t="s">
        <v>30</v>
      </c>
      <c r="D34" t="str">
        <f t="shared" si="0"/>
        <v>Implementation (Phase 3)</v>
      </c>
      <c r="E34" t="str">
        <f t="shared" si="1"/>
        <v>Implmnttn(Phs3)</v>
      </c>
      <c r="F34" s="1"/>
    </row>
    <row r="35" spans="3:6" x14ac:dyDescent="0.2">
      <c r="C35" t="s">
        <v>31</v>
      </c>
      <c r="D35" t="str">
        <f t="shared" si="0"/>
        <v>Investment Review Status</v>
      </c>
      <c r="E35" t="str">
        <f t="shared" si="1"/>
        <v>InvstmntRvwStts</v>
      </c>
      <c r="F35" s="1"/>
    </row>
    <row r="36" spans="3:6" x14ac:dyDescent="0.2">
      <c r="C36" t="s">
        <v>32</v>
      </c>
      <c r="D36" t="str">
        <f t="shared" si="0"/>
        <v>Long Lead Materials (Phase 2)</v>
      </c>
      <c r="E36" t="str">
        <f t="shared" si="1"/>
        <v>LngLdMtrls(Phs2)</v>
      </c>
      <c r="F36" s="1"/>
    </row>
    <row r="37" spans="3:6" x14ac:dyDescent="0.2">
      <c r="C37" t="s">
        <v>33</v>
      </c>
      <c r="D37" t="str">
        <f t="shared" si="0"/>
        <v>Manager of Project Manager</v>
      </c>
      <c r="E37" t="str">
        <f t="shared" si="1"/>
        <v>MngrfPrjctMngr</v>
      </c>
      <c r="F37" s="1"/>
    </row>
    <row r="38" spans="3:6" x14ac:dyDescent="0.2">
      <c r="C38" t="s">
        <v>34</v>
      </c>
      <c r="D38" t="str">
        <f t="shared" si="0"/>
        <v>Max Long Lead Time</v>
      </c>
      <c r="E38" t="str">
        <f t="shared" si="1"/>
        <v>MxLngLdTm</v>
      </c>
      <c r="F38" s="1"/>
    </row>
    <row r="39" spans="3:6" x14ac:dyDescent="0.2">
      <c r="C39" t="s">
        <v>35</v>
      </c>
      <c r="D39" t="str">
        <f t="shared" si="0"/>
        <v>Mitigation Duration</v>
      </c>
      <c r="E39" t="str">
        <f t="shared" si="1"/>
        <v>MtgtnDrtn</v>
      </c>
      <c r="F39" s="1"/>
    </row>
    <row r="40" spans="3:6" x14ac:dyDescent="0.2">
      <c r="C40" t="s">
        <v>36</v>
      </c>
      <c r="D40" t="str">
        <f t="shared" si="0"/>
        <v>Mitigation Steps</v>
      </c>
      <c r="E40" t="str">
        <f t="shared" si="1"/>
        <v>MtgtnStps</v>
      </c>
      <c r="F40" s="1"/>
    </row>
    <row r="41" spans="3:6" x14ac:dyDescent="0.2">
      <c r="C41" t="s">
        <v>37</v>
      </c>
      <c r="D41" t="str">
        <f t="shared" si="0"/>
        <v>Old Category</v>
      </c>
      <c r="E41" t="str">
        <f t="shared" si="1"/>
        <v>OldCtgry</v>
      </c>
      <c r="F41" s="1"/>
    </row>
    <row r="42" spans="3:6" x14ac:dyDescent="0.2">
      <c r="C42" t="s">
        <v>38</v>
      </c>
      <c r="D42" t="str">
        <f t="shared" si="0"/>
        <v>Old Subcategory</v>
      </c>
      <c r="E42" t="str">
        <f t="shared" si="1"/>
        <v>OldSbctgry</v>
      </c>
      <c r="F42" s="1"/>
    </row>
    <row r="43" spans="3:6" x14ac:dyDescent="0.2">
      <c r="C43" t="s">
        <v>39</v>
      </c>
      <c r="D43" t="str">
        <f t="shared" si="0"/>
        <v>Org Group</v>
      </c>
      <c r="E43" t="str">
        <f t="shared" si="1"/>
        <v>OrgGrp</v>
      </c>
      <c r="F43" s="1"/>
    </row>
    <row r="44" spans="3:6" x14ac:dyDescent="0.2">
      <c r="C44" t="s">
        <v>40</v>
      </c>
      <c r="D44" t="str">
        <f t="shared" si="0"/>
        <v>Other Estimate</v>
      </c>
      <c r="E44" t="str">
        <f t="shared" si="1"/>
        <v>OthrEstmt</v>
      </c>
      <c r="F44" s="1"/>
    </row>
    <row r="45" spans="3:6" x14ac:dyDescent="0.2">
      <c r="C45" t="s">
        <v>41</v>
      </c>
      <c r="D45" t="str">
        <f t="shared" si="0"/>
        <v>Owner Review Rejects</v>
      </c>
      <c r="E45" t="str">
        <f t="shared" si="1"/>
        <v>OwnrRvwRjcts</v>
      </c>
      <c r="F45" s="1"/>
    </row>
    <row r="46" spans="3:6" x14ac:dyDescent="0.2">
      <c r="C46" t="s">
        <v>42</v>
      </c>
      <c r="D46" t="str">
        <f t="shared" si="0"/>
        <v>Planning Portfolio</v>
      </c>
      <c r="E46" t="str">
        <f t="shared" si="1"/>
        <v>PlnnngPrtfl</v>
      </c>
      <c r="F46" s="1"/>
    </row>
    <row r="47" spans="3:6" x14ac:dyDescent="0.2">
      <c r="C47" t="s">
        <v>43</v>
      </c>
      <c r="D47" t="str">
        <f t="shared" si="0"/>
        <v>Plant</v>
      </c>
      <c r="E47" t="str">
        <f t="shared" si="1"/>
        <v>Plant</v>
      </c>
      <c r="F47" s="1"/>
    </row>
    <row r="48" spans="3:6" x14ac:dyDescent="0.2">
      <c r="C48" t="s">
        <v>44</v>
      </c>
      <c r="D48" t="str">
        <f t="shared" si="0"/>
        <v>Portfolio Category</v>
      </c>
      <c r="E48" t="str">
        <f t="shared" si="1"/>
        <v>PrtflCtgry</v>
      </c>
      <c r="F48" s="1"/>
    </row>
    <row r="49" spans="3:6" x14ac:dyDescent="0.2">
      <c r="C49" t="s">
        <v>45</v>
      </c>
      <c r="D49" t="str">
        <f t="shared" si="0"/>
        <v>PowerPlan Status</v>
      </c>
      <c r="E49" t="str">
        <f t="shared" si="1"/>
        <v>PwrPlnStts</v>
      </c>
      <c r="F49" s="1"/>
    </row>
    <row r="50" spans="3:6" x14ac:dyDescent="0.2">
      <c r="C50" t="s">
        <v>46</v>
      </c>
      <c r="D50" t="str">
        <f t="shared" si="0"/>
        <v>Profitability Index</v>
      </c>
      <c r="E50" t="str">
        <f t="shared" si="1"/>
        <v>PrftbltyIndx</v>
      </c>
      <c r="F50" s="1"/>
    </row>
    <row r="51" spans="3:6" x14ac:dyDescent="0.2">
      <c r="C51" t="s">
        <v>47</v>
      </c>
      <c r="D51" t="str">
        <f t="shared" si="0"/>
        <v>Project Manager</v>
      </c>
      <c r="E51" t="str">
        <f t="shared" si="1"/>
        <v>PrjctMngr</v>
      </c>
      <c r="F51" s="1"/>
    </row>
    <row r="52" spans="3:6" x14ac:dyDescent="0.2">
      <c r="C52" t="s">
        <v>48</v>
      </c>
      <c r="D52" t="str">
        <f t="shared" si="0"/>
        <v>Reason for Additional Engineering</v>
      </c>
      <c r="E52" t="str">
        <f t="shared" si="1"/>
        <v>RsnfrAddtnlEngnrng</v>
      </c>
      <c r="F52" s="1"/>
    </row>
    <row r="53" spans="3:6" x14ac:dyDescent="0.2">
      <c r="C53" t="s">
        <v>49</v>
      </c>
      <c r="D53" t="str">
        <f t="shared" si="0"/>
        <v>Region</v>
      </c>
      <c r="E53" t="str">
        <f t="shared" si="1"/>
        <v>Region</v>
      </c>
      <c r="F53" s="1"/>
    </row>
    <row r="54" spans="3:6" x14ac:dyDescent="0.2">
      <c r="C54" t="s">
        <v>50</v>
      </c>
      <c r="D54" t="str">
        <f t="shared" si="0"/>
        <v>Request Status</v>
      </c>
      <c r="E54" t="str">
        <f t="shared" si="1"/>
        <v>RqstStts</v>
      </c>
      <c r="F54" s="1"/>
    </row>
    <row r="55" spans="3:6" x14ac:dyDescent="0.2">
      <c r="C55" t="s">
        <v>51</v>
      </c>
      <c r="D55" t="str">
        <f t="shared" si="0"/>
        <v>Rework (Tech Complete Rejects)</v>
      </c>
      <c r="E55" t="str">
        <f t="shared" si="1"/>
        <v>Rwrk(TchCmpltRjcts)</v>
      </c>
      <c r="F55" s="1"/>
    </row>
    <row r="56" spans="3:6" x14ac:dyDescent="0.2">
      <c r="C56" t="s">
        <v>52</v>
      </c>
      <c r="D56" t="str">
        <f t="shared" si="0"/>
        <v>Safety</v>
      </c>
      <c r="E56" t="str">
        <f t="shared" si="1"/>
        <v>Safety</v>
      </c>
      <c r="F56" s="1"/>
    </row>
    <row r="57" spans="3:6" x14ac:dyDescent="0.2">
      <c r="C57" t="s">
        <v>53</v>
      </c>
      <c r="D57" t="str">
        <f t="shared" si="0"/>
        <v>Scope</v>
      </c>
      <c r="E57" t="str">
        <f t="shared" si="1"/>
        <v>Scope</v>
      </c>
      <c r="F57" s="1"/>
    </row>
    <row r="58" spans="3:6" x14ac:dyDescent="0.2">
      <c r="C58" t="s">
        <v>54</v>
      </c>
      <c r="D58" t="str">
        <f t="shared" si="0"/>
        <v>Study &amp; Preliminary Engineering (Phase 1)</v>
      </c>
      <c r="E58" t="str">
        <f t="shared" si="1"/>
        <v>StdyPrlmnryEngnrng(Phs1)</v>
      </c>
      <c r="F58" s="1"/>
    </row>
    <row r="59" spans="3:6" x14ac:dyDescent="0.2">
      <c r="C59" t="s">
        <v>55</v>
      </c>
      <c r="D59" t="str">
        <f t="shared" si="0"/>
        <v>Unit Code</v>
      </c>
      <c r="E59" t="str">
        <f t="shared" si="1"/>
        <v>UntCd</v>
      </c>
      <c r="F59" s="1"/>
    </row>
    <row r="60" spans="3:6" x14ac:dyDescent="0.2">
      <c r="C60" t="s">
        <v>56</v>
      </c>
      <c r="D60" t="str">
        <f t="shared" si="0"/>
        <v>Unit Name</v>
      </c>
      <c r="E60" t="str">
        <f t="shared" si="1"/>
        <v>UntNm</v>
      </c>
      <c r="F60" s="1"/>
    </row>
    <row r="61" spans="3:6" x14ac:dyDescent="0.2">
      <c r="C61" t="s">
        <v>57</v>
      </c>
      <c r="D61" t="str">
        <f t="shared" si="0"/>
        <v>Workflow Statu</v>
      </c>
      <c r="E61" t="str">
        <f t="shared" si="1"/>
        <v>WrkflwStt</v>
      </c>
      <c r="F61" s="1"/>
    </row>
  </sheetData>
  <pageMargins left="0.7" right="0.7" top="0.75" bottom="0.75" header="0.3" footer="0.3"/>
  <pageSetup orientation="landscape" r:id="rId1"/>
  <headerFooter>
    <oddFooter>&amp;L&amp;"Tahoma,Bold"&amp;D
&amp;T&amp;C
Tennessee Valley Authority Confidential&amp;RPage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Tennessee Valley Authority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Shakir, Kaz</dc:creator>
  <cp:lastModifiedBy>Shakir, Kaz</cp:lastModifiedBy>
  <dcterms:created xsi:type="dcterms:W3CDTF">2010-10-07T19:56:19Z</dcterms:created>
  <dcterms:modified xsi:type="dcterms:W3CDTF">2018-08-01T16:17:21Z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{7B5DBEF8-DECA-40FF-BBFB-192A2D99AAC6}</vt:lpwstr>
  </property>
</Properties>
</file>